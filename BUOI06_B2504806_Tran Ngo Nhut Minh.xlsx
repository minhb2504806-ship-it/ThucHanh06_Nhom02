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84" windowWidth="16260" windowHeight="5856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Sheet1!$A$1:$C$15</definedName>
    <definedName name="_xlnm._FilterDatabase" localSheetId="1" hidden="1">Sheet2!$F$4:$I$8</definedName>
  </definedNames>
  <calcPr calcId="144525"/>
</workbook>
</file>

<file path=xl/calcChain.xml><?xml version="1.0" encoding="utf-8"?>
<calcChain xmlns="http://schemas.openxmlformats.org/spreadsheetml/2006/main">
  <c r="J12" i="2" l="1"/>
  <c r="H12" i="2"/>
  <c r="G12" i="2"/>
  <c r="H6" i="2"/>
  <c r="H7" i="2"/>
  <c r="H8" i="2"/>
  <c r="H5" i="2"/>
  <c r="G6" i="2" l="1"/>
  <c r="G7" i="2"/>
  <c r="G8" i="2"/>
  <c r="G5" i="2"/>
</calcChain>
</file>

<file path=xl/sharedStrings.xml><?xml version="1.0" encoding="utf-8"?>
<sst xmlns="http://schemas.openxmlformats.org/spreadsheetml/2006/main" count="121" uniqueCount="53">
  <si>
    <t>MSSV</t>
  </si>
  <si>
    <t>Hoten</t>
  </si>
  <si>
    <t>Lop</t>
  </si>
  <si>
    <t>A1200014</t>
  </si>
  <si>
    <t>A1200028</t>
  </si>
  <si>
    <t>A1200137</t>
  </si>
  <si>
    <t>B1204052</t>
  </si>
  <si>
    <t>B1204121</t>
  </si>
  <si>
    <t>B1208601</t>
  </si>
  <si>
    <t>B1209103</t>
  </si>
  <si>
    <t>B1209107</t>
  </si>
  <si>
    <t>B1209144</t>
  </si>
  <si>
    <t>B1302016</t>
  </si>
  <si>
    <t>B1304488</t>
  </si>
  <si>
    <t>B1304494</t>
  </si>
  <si>
    <t>DI11Y9A2</t>
  </si>
  <si>
    <t>DI11Y9A1</t>
  </si>
  <si>
    <t>CP1296C1</t>
  </si>
  <si>
    <t>DI1295A1</t>
  </si>
  <si>
    <t>DI12Z6A2</t>
  </si>
  <si>
    <t>TC12Z5A1</t>
  </si>
  <si>
    <t>TC12Z5A2</t>
  </si>
  <si>
    <t>XH13W9A1</t>
  </si>
  <si>
    <t>DI13Z6A1</t>
  </si>
  <si>
    <t>Nguyễn Thanh        Phong</t>
  </si>
  <si>
    <t>Trần Tấn                  Quốc</t>
  </si>
  <si>
    <t>Lê Phong                  Cảnh</t>
  </si>
  <si>
    <t xml:space="preserve">Võ Đông                   Triều </t>
  </si>
  <si>
    <t>Sơn                            Sony</t>
  </si>
  <si>
    <t>Lê Huỳnh                  Như</t>
  </si>
  <si>
    <t>Nguyễn Thanh        Thiện</t>
  </si>
  <si>
    <t>Hồ Thị Quế              Chi</t>
  </si>
  <si>
    <t>Nguyễn Hoài           Nam</t>
  </si>
  <si>
    <t>Cao Tuấn                 Nguyên</t>
  </si>
  <si>
    <t>Huỳnh Nhựt           Thương</t>
  </si>
  <si>
    <t>Nguyễn Phước       Toàn</t>
  </si>
  <si>
    <t>Hồng Duy                Hiệu</t>
  </si>
  <si>
    <t>Kim                           Mel</t>
  </si>
  <si>
    <t>MaMH</t>
  </si>
  <si>
    <t>Diem</t>
  </si>
  <si>
    <t>CT447</t>
  </si>
  <si>
    <t>CT107</t>
  </si>
  <si>
    <t>CT178</t>
  </si>
  <si>
    <t>A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</si>
  <si>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</si>
  <si>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</si>
  <si>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</si>
  <si>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</si>
  <si>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</si>
  <si>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</si>
  <si>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</si>
  <si>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</si>
  <si>
    <t>DI1296A2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</si>
</sst>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G15" sqref="G15"/>
    </sheetView>
  </sheetViews>
  <sheetFormatPr defaultRowHeight="14.4" x14ac:dyDescent="0.3"/>
  <cols>
    <col min="1" max="1" width="10.21875" customWidth="1"/>
    <col min="2" max="2" width="24.33203125" customWidth="1"/>
    <col min="3" max="3" width="13.5546875" customWidth="1"/>
    <col min="6" max="6" width="9.77734375" customWidth="1"/>
    <col min="7" max="7" width="23.33203125" customWidth="1"/>
    <col min="8" max="8" width="11" customWidth="1"/>
  </cols>
  <sheetData>
    <row r="1" spans="1:8" ht="19.2" customHeight="1" x14ac:dyDescent="0.3">
      <c r="A1" s="1" t="s">
        <v>0</v>
      </c>
      <c r="B1" s="1" t="s">
        <v>1</v>
      </c>
      <c r="C1" s="1" t="s">
        <v>2</v>
      </c>
      <c r="F1" s="8"/>
      <c r="G1" s="8"/>
      <c r="H1" s="8"/>
    </row>
    <row r="2" spans="1:8" x14ac:dyDescent="0.3">
      <c r="A2" s="2">
        <v>1111434</v>
      </c>
      <c r="B2" s="3" t="s">
        <v>29</v>
      </c>
      <c r="C2" s="4" t="s">
        <v>15</v>
      </c>
      <c r="G2" s="9"/>
      <c r="H2" s="9"/>
    </row>
    <row r="3" spans="1:8" x14ac:dyDescent="0.3">
      <c r="A3" s="2">
        <v>1111450</v>
      </c>
      <c r="B3" s="3" t="s">
        <v>28</v>
      </c>
      <c r="C3" s="4" t="s">
        <v>16</v>
      </c>
    </row>
    <row r="4" spans="1:8" x14ac:dyDescent="0.3">
      <c r="A4" s="2" t="s">
        <v>3</v>
      </c>
      <c r="B4" s="3" t="s">
        <v>27</v>
      </c>
      <c r="C4" s="4" t="s">
        <v>17</v>
      </c>
    </row>
    <row r="5" spans="1:8" x14ac:dyDescent="0.3">
      <c r="A5" s="2" t="s">
        <v>4</v>
      </c>
      <c r="B5" s="3" t="s">
        <v>26</v>
      </c>
      <c r="C5" s="4" t="s">
        <v>17</v>
      </c>
    </row>
    <row r="6" spans="1:8" x14ac:dyDescent="0.3">
      <c r="A6" s="2" t="s">
        <v>5</v>
      </c>
      <c r="B6" s="3" t="s">
        <v>25</v>
      </c>
      <c r="C6" s="4" t="s">
        <v>17</v>
      </c>
      <c r="F6" s="13" t="s">
        <v>0</v>
      </c>
      <c r="G6" s="13" t="s">
        <v>1</v>
      </c>
      <c r="H6" s="13" t="s">
        <v>2</v>
      </c>
    </row>
    <row r="7" spans="1:8" x14ac:dyDescent="0.3">
      <c r="A7" s="2" t="s">
        <v>6</v>
      </c>
      <c r="B7" s="3" t="s">
        <v>24</v>
      </c>
      <c r="C7" s="4" t="s">
        <v>52</v>
      </c>
      <c r="F7" s="2" t="s">
        <v>6</v>
      </c>
      <c r="G7" s="3" t="s">
        <v>24</v>
      </c>
      <c r="H7" s="4" t="s">
        <v>52</v>
      </c>
    </row>
    <row r="8" spans="1:8" x14ac:dyDescent="0.3">
      <c r="A8" s="2" t="s">
        <v>7</v>
      </c>
      <c r="B8" s="3" t="s">
        <v>30</v>
      </c>
      <c r="C8" s="4" t="s">
        <v>18</v>
      </c>
    </row>
    <row r="9" spans="1:8" x14ac:dyDescent="0.3">
      <c r="A9" s="2" t="s">
        <v>8</v>
      </c>
      <c r="B9" s="3" t="s">
        <v>31</v>
      </c>
      <c r="C9" s="4" t="s">
        <v>19</v>
      </c>
    </row>
    <row r="10" spans="1:8" x14ac:dyDescent="0.3">
      <c r="A10" s="2" t="s">
        <v>9</v>
      </c>
      <c r="B10" s="3" t="s">
        <v>32</v>
      </c>
      <c r="C10" s="4" t="s">
        <v>20</v>
      </c>
    </row>
    <row r="11" spans="1:8" x14ac:dyDescent="0.3">
      <c r="A11" s="2" t="s">
        <v>10</v>
      </c>
      <c r="B11" s="3" t="s">
        <v>33</v>
      </c>
      <c r="C11" s="4" t="s">
        <v>20</v>
      </c>
    </row>
    <row r="12" spans="1:8" x14ac:dyDescent="0.3">
      <c r="A12" s="2" t="s">
        <v>11</v>
      </c>
      <c r="B12" s="3" t="s">
        <v>34</v>
      </c>
      <c r="C12" s="4" t="s">
        <v>21</v>
      </c>
    </row>
    <row r="13" spans="1:8" x14ac:dyDescent="0.3">
      <c r="A13" s="2" t="s">
        <v>12</v>
      </c>
      <c r="B13" s="3" t="s">
        <v>35</v>
      </c>
      <c r="C13" s="4" t="s">
        <v>22</v>
      </c>
    </row>
    <row r="14" spans="1:8" x14ac:dyDescent="0.3">
      <c r="A14" s="2" t="s">
        <v>13</v>
      </c>
      <c r="B14" s="3" t="s">
        <v>36</v>
      </c>
      <c r="C14" s="4" t="s">
        <v>23</v>
      </c>
    </row>
    <row r="15" spans="1:8" x14ac:dyDescent="0.3">
      <c r="A15" s="2" t="s">
        <v>14</v>
      </c>
      <c r="B15" s="3" t="s">
        <v>37</v>
      </c>
      <c r="C15" s="4" t="s">
        <v>23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workbookViewId="0">
      <selection activeCell="G20" sqref="G20"/>
    </sheetView>
  </sheetViews>
  <sheetFormatPr defaultRowHeight="14.4" x14ac:dyDescent="0.3"/>
  <cols>
    <col min="1" max="1" width="10.77734375" customWidth="1"/>
    <col min="2" max="2" width="10.88671875" customWidth="1"/>
    <col min="6" max="6" width="9.88671875" customWidth="1"/>
    <col min="7" max="7" width="23.88671875" customWidth="1"/>
    <col min="8" max="8" width="10.44140625" customWidth="1"/>
  </cols>
  <sheetData>
    <row r="1" spans="1:10" x14ac:dyDescent="0.3">
      <c r="A1" s="6" t="s">
        <v>0</v>
      </c>
      <c r="B1" s="7" t="s">
        <v>38</v>
      </c>
      <c r="C1" s="7" t="s">
        <v>39</v>
      </c>
    </row>
    <row r="2" spans="1:10" x14ac:dyDescent="0.3">
      <c r="A2" s="5">
        <v>1111434</v>
      </c>
      <c r="B2" s="7" t="s">
        <v>40</v>
      </c>
      <c r="C2" s="7" t="s">
        <v>43</v>
      </c>
    </row>
    <row r="3" spans="1:10" x14ac:dyDescent="0.3">
      <c r="A3" s="5">
        <v>1111450</v>
      </c>
      <c r="B3" s="7" t="s">
        <v>41</v>
      </c>
      <c r="C3" s="7" t="s">
        <v>43</v>
      </c>
    </row>
    <row r="4" spans="1:10" x14ac:dyDescent="0.3">
      <c r="A4" s="5" t="s">
        <v>3</v>
      </c>
      <c r="B4" s="7" t="s">
        <v>42</v>
      </c>
      <c r="C4" s="7" t="s">
        <v>44</v>
      </c>
      <c r="F4" s="11" t="s">
        <v>0</v>
      </c>
      <c r="G4" s="11" t="s">
        <v>1</v>
      </c>
      <c r="H4" s="11" t="s">
        <v>2</v>
      </c>
      <c r="I4" s="12" t="s">
        <v>38</v>
      </c>
      <c r="J4" s="10"/>
    </row>
    <row r="5" spans="1:10" x14ac:dyDescent="0.3">
      <c r="A5" s="5" t="s">
        <v>4</v>
      </c>
      <c r="B5" s="7" t="s">
        <v>40</v>
      </c>
      <c r="C5" s="7" t="s">
        <v>45</v>
      </c>
      <c r="F5" s="5" t="s">
        <v>3</v>
      </c>
      <c r="G5" s="4" t="str">
        <f>VLOOKUP(F5, Sheet1!$A$2:$B$15, 2, 0)</f>
        <v xml:space="preserve">Võ Đông                   Triều </v>
      </c>
      <c r="H5" s="7" t="str">
        <f>VLOOKUP(F5, Sheet1!$A$2:$C$15, 3, 0)</f>
        <v>CP1296C1</v>
      </c>
      <c r="I5" s="7" t="s">
        <v>42</v>
      </c>
    </row>
    <row r="6" spans="1:10" x14ac:dyDescent="0.3">
      <c r="A6" s="5" t="s">
        <v>5</v>
      </c>
      <c r="B6" s="7" t="s">
        <v>41</v>
      </c>
      <c r="C6" s="7" t="s">
        <v>46</v>
      </c>
      <c r="F6" s="5" t="s">
        <v>6</v>
      </c>
      <c r="G6" s="4" t="str">
        <f>VLOOKUP(F6, Sheet1!$A$2:$B$15, 2, 0)</f>
        <v>Nguyễn Thanh        Phong</v>
      </c>
      <c r="H6" s="7" t="str">
        <f>VLOOKUP(F6, Sheet1!$A$2:$C$15, 3, 0)</f>
        <v>DI1296A2</v>
      </c>
      <c r="I6" s="7" t="s">
        <v>42</v>
      </c>
    </row>
    <row r="7" spans="1:10" x14ac:dyDescent="0.3">
      <c r="A7" s="5" t="s">
        <v>6</v>
      </c>
      <c r="B7" s="7" t="s">
        <v>42</v>
      </c>
      <c r="C7" s="7" t="s">
        <v>43</v>
      </c>
      <c r="F7" s="5" t="s">
        <v>9</v>
      </c>
      <c r="G7" s="4" t="str">
        <f>VLOOKUP(F7, Sheet1!$A$2:$B$15, 2, 0)</f>
        <v>Nguyễn Hoài           Nam</v>
      </c>
      <c r="H7" s="7" t="str">
        <f>VLOOKUP(F7, Sheet1!$A$2:$C$15, 3, 0)</f>
        <v>TC12Z5A1</v>
      </c>
      <c r="I7" s="7" t="s">
        <v>42</v>
      </c>
    </row>
    <row r="8" spans="1:10" x14ac:dyDescent="0.3">
      <c r="A8" s="5" t="s">
        <v>7</v>
      </c>
      <c r="B8" s="7" t="s">
        <v>40</v>
      </c>
      <c r="C8" s="7" t="s">
        <v>43</v>
      </c>
      <c r="F8" s="5" t="s">
        <v>12</v>
      </c>
      <c r="G8" s="4" t="str">
        <f>VLOOKUP(F8, Sheet1!$A$2:$B$15, 2, 0)</f>
        <v>Nguyễn Phước       Toàn</v>
      </c>
      <c r="H8" s="7" t="str">
        <f>VLOOKUP(F8, Sheet1!$A$2:$C$15, 3, 0)</f>
        <v>XH13W9A1</v>
      </c>
      <c r="I8" s="7" t="s">
        <v>42</v>
      </c>
    </row>
    <row r="9" spans="1:10" x14ac:dyDescent="0.3">
      <c r="A9" s="5" t="s">
        <v>8</v>
      </c>
      <c r="B9" s="7" t="s">
        <v>41</v>
      </c>
      <c r="C9" s="7" t="s">
        <v>44</v>
      </c>
    </row>
    <row r="10" spans="1:10" x14ac:dyDescent="0.3">
      <c r="A10" s="5" t="s">
        <v>9</v>
      </c>
      <c r="B10" s="7" t="s">
        <v>42</v>
      </c>
      <c r="C10" s="7" t="s">
        <v>45</v>
      </c>
    </row>
    <row r="11" spans="1:10" x14ac:dyDescent="0.3">
      <c r="A11" s="5" t="s">
        <v>10</v>
      </c>
      <c r="B11" s="7" t="s">
        <v>40</v>
      </c>
      <c r="C11" s="7" t="s">
        <v>46</v>
      </c>
      <c r="F11" s="11" t="s">
        <v>0</v>
      </c>
      <c r="G11" s="11" t="s">
        <v>1</v>
      </c>
      <c r="H11" s="11" t="s">
        <v>2</v>
      </c>
      <c r="I11" s="12" t="s">
        <v>38</v>
      </c>
      <c r="J11" s="12" t="s">
        <v>39</v>
      </c>
    </row>
    <row r="12" spans="1:10" x14ac:dyDescent="0.3">
      <c r="A12" s="5" t="s">
        <v>11</v>
      </c>
      <c r="B12" s="7" t="s">
        <v>41</v>
      </c>
      <c r="C12" s="7" t="s">
        <v>43</v>
      </c>
      <c r="F12" s="5" t="s">
        <v>3</v>
      </c>
      <c r="G12" s="4" t="str">
        <f>VLOOKUP(F12, Sheet1!$A$2:$B$15, 2, 0)</f>
        <v xml:space="preserve">Võ Đông                   Triều </v>
      </c>
      <c r="H12" s="7" t="str">
        <f>VLOOKUP(F12, Sheet1!$A$2:$C$15, 3, 0)</f>
        <v>CP1296C1</v>
      </c>
      <c r="I12" s="7" t="s">
        <v>42</v>
      </c>
      <c r="J12" s="7" t="str">
        <f>VLOOKUP(F12, $A$2:$C$15, 3, 0)</f>
        <v>C</v>
      </c>
    </row>
    <row r="13" spans="1:10" x14ac:dyDescent="0.3">
      <c r="A13" s="5" t="s">
        <v>12</v>
      </c>
      <c r="B13" s="7" t="s">
        <v>42</v>
      </c>
      <c r="C13" s="7" t="s">
        <v>43</v>
      </c>
    </row>
    <row r="14" spans="1:10" x14ac:dyDescent="0.3">
      <c r="A14" s="5" t="s">
        <v>13</v>
      </c>
      <c r="B14" s="7" t="s">
        <v>40</v>
      </c>
      <c r="C14" s="7" t="s">
        <v>44</v>
      </c>
    </row>
    <row r="15" spans="1:10" x14ac:dyDescent="0.3">
      <c r="A15" s="5" t="s">
        <v>14</v>
      </c>
      <c r="B15" s="7" t="s">
        <v>41</v>
      </c>
      <c r="C15" s="7" t="s">
        <v>45</v>
      </c>
    </row>
    <row r="16" spans="1:10" x14ac:dyDescent="0.3">
      <c r="A16" s="4"/>
      <c r="B16" s="4"/>
      <c r="C16" s="7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F14" sqref="F14"/>
    </sheetView>
  </sheetViews>
  <sheetFormatPr defaultRowHeight="14.4" x14ac:dyDescent="0.3"/>
  <cols>
    <col min="2" max="2" width="18.44140625" customWidth="1"/>
  </cols>
  <sheetData>
    <row r="1" spans="1:3" x14ac:dyDescent="0.3">
      <c r="A1" s="7" t="s">
        <v>38</v>
      </c>
      <c r="B1" s="7" t="s">
        <v>47</v>
      </c>
      <c r="C1" s="7" t="s">
        <v>48</v>
      </c>
    </row>
    <row r="2" spans="1:3" x14ac:dyDescent="0.3">
      <c r="A2" s="7" t="s">
        <v>40</v>
      </c>
      <c r="B2" s="7" t="s">
        <v>49</v>
      </c>
      <c r="C2" s="7">
        <v>3</v>
      </c>
    </row>
    <row r="3" spans="1:3" x14ac:dyDescent="0.3">
      <c r="A3" s="7" t="s">
        <v>41</v>
      </c>
      <c r="B3" s="7" t="s">
        <v>50</v>
      </c>
      <c r="C3" s="7">
        <v>3</v>
      </c>
    </row>
    <row r="4" spans="1:3" x14ac:dyDescent="0.3">
      <c r="A4" s="7" t="s">
        <v>42</v>
      </c>
      <c r="B4" s="7" t="s">
        <v>51</v>
      </c>
      <c r="C4" s="7">
        <v>3</v>
      </c>
    </row>
    <row r="5" spans="1:3" x14ac:dyDescent="0.3">
      <c r="A5" s="4"/>
      <c r="B5" s="4"/>
      <c r="C5" s="4"/>
    </row>
    <row r="6" spans="1:3" x14ac:dyDescent="0.3">
      <c r="A6" s="4"/>
      <c r="B6" s="4"/>
      <c r="C6" s="4"/>
    </row>
    <row r="7" spans="1:3" x14ac:dyDescent="0.3">
      <c r="A7" s="4"/>
      <c r="B7" s="4"/>
      <c r="C7" s="4"/>
    </row>
    <row r="8" spans="1:3" x14ac:dyDescent="0.3">
      <c r="A8" s="4"/>
      <c r="B8" s="4"/>
      <c r="C8" s="4"/>
    </row>
    <row r="9" spans="1:3" x14ac:dyDescent="0.3">
      <c r="A9" s="4"/>
      <c r="B9" s="4"/>
      <c r="C9" s="4"/>
    </row>
    <row r="10" spans="1:3" x14ac:dyDescent="0.3">
      <c r="A10" s="4"/>
      <c r="B10" s="4"/>
      <c r="C10" s="4"/>
    </row>
    <row r="11" spans="1:3" x14ac:dyDescent="0.3">
      <c r="A11" s="4"/>
      <c r="B11" s="4"/>
      <c r="C11" s="4"/>
    </row>
    <row r="12" spans="1:3" x14ac:dyDescent="0.3">
      <c r="A12" s="4"/>
      <c r="B12" s="4"/>
      <c r="C12" s="4"/>
    </row>
    <row r="13" spans="1:3" x14ac:dyDescent="0.3">
      <c r="A13" s="4"/>
      <c r="B13" s="4"/>
      <c r="C13" s="4"/>
    </row>
    <row r="14" spans="1:3" x14ac:dyDescent="0.3">
      <c r="A14" s="4"/>
      <c r="B14" s="4"/>
      <c r="C14" s="4"/>
    </row>
    <row r="15" spans="1:3" x14ac:dyDescent="0.3">
      <c r="A15" s="4"/>
      <c r="B15" s="4"/>
      <c r="C15" s="4"/>
    </row>
    <row r="16" spans="1:3" x14ac:dyDescent="0.3">
      <c r="A16" s="4"/>
      <c r="B16" s="4"/>
      <c r="C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2026-02-25T05:15:42Z</dcterms:created>
  <dcterms:modified xsi:type="dcterms:W3CDTF">2026-02-27T07:56:25Z</dcterms:modified>
</cp:coreProperties>
</file>